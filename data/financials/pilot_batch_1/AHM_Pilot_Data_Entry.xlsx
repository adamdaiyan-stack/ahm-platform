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hm-platform\data\financials\pilot_batch_1\"/>
    </mc:Choice>
  </mc:AlternateContent>
  <xr:revisionPtr revIDLastSave="0" documentId="13_ncr:1_{B2D19366-FABD-4C42-8594-1A33D07F8CEF}" xr6:coauthVersionLast="47" xr6:coauthVersionMax="47" xr10:uidLastSave="{00000000-0000-0000-0000-000000000000}"/>
  <bookViews>
    <workbookView xWindow="13875" yWindow="1725" windowWidth="6255" windowHeight="4185" tabRatio="500" activeTab="1" xr2:uid="{00000000-000D-0000-FFFF-FFFF00000000}"/>
  </bookViews>
  <sheets>
    <sheet name="Instructions" sheetId="1" r:id="rId1"/>
    <sheet name="HBL" sheetId="2" r:id="rId2"/>
    <sheet name="MCB" sheetId="3" r:id="rId3"/>
    <sheet name="UBL" sheetId="4" r:id="rId4"/>
    <sheet name="BAFL" sheetId="5" r:id="rId5"/>
    <sheet name="OGDC" sheetId="6" r:id="rId6"/>
    <sheet name="PPL" sheetId="7" r:id="rId7"/>
    <sheet name="LUCK" sheetId="8" r:id="rId8"/>
    <sheet name="DGKC" sheetId="9" r:id="rId9"/>
    <sheet name="FFC" sheetId="10" r:id="rId10"/>
    <sheet name="HUB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2" l="1"/>
  <c r="E26" i="2"/>
  <c r="E38" i="2"/>
  <c r="D38" i="2"/>
  <c r="C38" i="2"/>
  <c r="E9" i="11"/>
  <c r="D9" i="11"/>
  <c r="C9" i="11"/>
  <c r="E9" i="10"/>
  <c r="D9" i="10"/>
  <c r="C9" i="10"/>
  <c r="E9" i="9"/>
  <c r="D9" i="9"/>
  <c r="C9" i="9"/>
  <c r="E9" i="8"/>
  <c r="D9" i="8"/>
  <c r="C9" i="8"/>
  <c r="E9" i="7"/>
  <c r="D9" i="7"/>
  <c r="C9" i="7"/>
  <c r="E9" i="6"/>
  <c r="D9" i="6"/>
  <c r="C9" i="6"/>
  <c r="E9" i="5"/>
  <c r="D9" i="5"/>
  <c r="C9" i="5"/>
  <c r="E9" i="4"/>
  <c r="D9" i="4"/>
  <c r="C9" i="4"/>
  <c r="E9" i="3"/>
  <c r="D9" i="3"/>
  <c r="C9" i="3"/>
  <c r="E9" i="2"/>
  <c r="D9" i="2"/>
  <c r="C9" i="2"/>
</calcChain>
</file>

<file path=xl/sharedStrings.xml><?xml version="1.0" encoding="utf-8"?>
<sst xmlns="http://schemas.openxmlformats.org/spreadsheetml/2006/main" count="1761" uniqueCount="206">
  <si>
    <t>AHM Platform  —  Pilot Batch Data Entry Workbook</t>
  </si>
  <si>
    <t>HOW TO USE</t>
  </si>
  <si>
    <t>1.  Click the company tab you want to fill in (HBL, MCB, UBL, etc.).</t>
  </si>
  <si>
    <t>2.  For each period column (FY23 / FY24 / FY25), fill in the yellow cells.</t>
  </si>
  <si>
    <t>3.  Blue cells are pre-filled — just update Source Page and Entered By.</t>
  </si>
  <si>
    <t>4.  Green cells are auto-calculated — do not edit them.</t>
  </si>
  <si>
    <t>COLOUR GUIDE</t>
  </si>
  <si>
    <t xml:space="preserve">  Yellow background   =  You must enter this data</t>
  </si>
  <si>
    <t xml:space="preserve">  Blue background     =  Pre-filled from template; only Source Page and Entered By need updating</t>
  </si>
  <si>
    <t xml:space="preserve">  Green background    =  Auto-calculated (Market Cap = Price x Shares)</t>
  </si>
  <si>
    <t xml:space="preserve">  Orange background   =  Not applicable for this sector  (leave blank)</t>
  </si>
  <si>
    <t>FISCAL YEAR PERIODS</t>
  </si>
  <si>
    <t>Pakistan fiscal year ends June 30.</t>
  </si>
  <si>
    <t xml:space="preserve">  FY23  =  1 Jul 2022 to 30 Jun 2023   (annual report available)</t>
  </si>
  <si>
    <t xml:space="preserve">  FY24  =  1 Jul 2023 to 30 Jun 2024   (annual report available)</t>
  </si>
  <si>
    <t xml:space="preserve">  FY25  =  1 Jul 2024 to 30 Jun 2025   (annual report available)</t>
  </si>
  <si>
    <t>SHARE PRICE  --  IMPORTANT</t>
  </si>
  <si>
    <t>Enter the PSX closing price on June 30 of that year  --  NOT today's current price.</t>
  </si>
  <si>
    <t xml:space="preserve">  FY23 price  =  closing price on 30 Jun 2023</t>
  </si>
  <si>
    <t xml:space="preserve">  FY24 price  =  closing price on 30 Jun 2024</t>
  </si>
  <si>
    <t xml:space="preserve">  FY25 price  =  closing price on 30 Jun 2025</t>
  </si>
  <si>
    <t>Historical prices available at:  psx.com.pk  or  brecorder.com  or  scstrade.com</t>
  </si>
  <si>
    <t>UNIT STANDARD</t>
  </si>
  <si>
    <t>All income statement and balance sheet figures:  PKR millions</t>
  </si>
  <si>
    <t>Per-share fields (EPS, DPS, Share Price):        PKR</t>
  </si>
  <si>
    <t>Shares Outstanding:                              millions</t>
  </si>
  <si>
    <t>DATA QUALITY RULES</t>
  </si>
  <si>
    <t xml:space="preserve">  Never guess. If a figure is not in the annual report, leave the cell blank.</t>
  </si>
  <si>
    <t xml:space="preserve">  Do NOT back-calculate shares from PAT divided by EPS -- enter EPS directly from report.</t>
  </si>
  <si>
    <t xml:space="preserve">  Fill in Source Page for every period (e.g. 'p.45' or 'Note 12, p.89').</t>
  </si>
  <si>
    <t xml:space="preserve">  Enter your name in 'Entered By' for every period you fill in.</t>
  </si>
  <si>
    <t>RECOMMENDED ORDER</t>
  </si>
  <si>
    <t>Start: HBL then MCB then UBL then BAFL  (banking -- same structure, fastest to learn).</t>
  </si>
  <si>
    <t>Then:  OGDC + PPL (E&amp;P),  LUCK + DGKC (Cement),  FFC (Fertilizer),  HUBC (Power).</t>
  </si>
  <si>
    <t>Tip:   do one full year across all 10 companies first, then move to the next year.</t>
  </si>
  <si>
    <t>DRY-RUN COMMAND  (run from ahm-platform folder in terminal)</t>
  </si>
  <si>
    <t>npx tsx --env-file=.env.local scripts/pipelines/ingest-financial-data.ts --file=data/financials/pilot_batch_1/TEMPLATE_WITH_AUDIT.csv --dry-run</t>
  </si>
  <si>
    <t>Remove  --dry-run  when ready to commit to the database.</t>
  </si>
  <si>
    <t>Habib Bank Limited  (HBL)</t>
  </si>
  <si>
    <t>Sector: Banking   |   Annual Report: https://hbl.com/investor-relations/annual-reports</t>
  </si>
  <si>
    <t>Field</t>
  </si>
  <si>
    <t>Units</t>
  </si>
  <si>
    <t>FY23</t>
  </si>
  <si>
    <t>FY24</t>
  </si>
  <si>
    <t>FY25</t>
  </si>
  <si>
    <t>Where to Find / Hint</t>
  </si>
  <si>
    <t>Period end date</t>
  </si>
  <si>
    <t>30 Jun 2023</t>
  </si>
  <si>
    <t>30 Jun 2024</t>
  </si>
  <si>
    <t>30 Jun 2025</t>
  </si>
  <si>
    <t>PSX historical data for share prices; annual reports for financials</t>
  </si>
  <si>
    <t xml:space="preserve">  PRICE &amp; MARKET DATA</t>
  </si>
  <si>
    <t>Share Price on Jun 30</t>
  </si>
  <si>
    <t>PKR</t>
  </si>
  <si>
    <t>Closing price on last PSX trading day of the fiscal year  (NOT today's price)</t>
  </si>
  <si>
    <t>Shares Outstanding</t>
  </si>
  <si>
    <t>millions</t>
  </si>
  <si>
    <t>Annual report cover or Notes to Accounts  (enter in millions)</t>
  </si>
  <si>
    <t>Market Cap  (auto)</t>
  </si>
  <si>
    <t>PKR mn</t>
  </si>
  <si>
    <t>Auto = Share Price x Shares Outstanding</t>
  </si>
  <si>
    <t xml:space="preserve">  INCOME STATEMENT  (PKR millions)</t>
  </si>
  <si>
    <t>Revenue / Net Revenue</t>
  </si>
  <si>
    <t>P&amp;L top line  |  Banks: NII + non-interest income</t>
  </si>
  <si>
    <t>Gross Profit</t>
  </si>
  <si>
    <t>Revenue minus COGS  (may be N/A for banks -- leave blank if so)</t>
  </si>
  <si>
    <t>EBITDA</t>
  </si>
  <si>
    <t>Operating profit + D&amp;A  (often shown in analyst presentation)</t>
  </si>
  <si>
    <t>EBIT / Operating Profit</t>
  </si>
  <si>
    <t>Profit before interest and tax</t>
  </si>
  <si>
    <t>Finance Cost / Interest Expense</t>
  </si>
  <si>
    <t>Finance cost line in P&amp;L</t>
  </si>
  <si>
    <t>PAT  (Profit After Tax)</t>
  </si>
  <si>
    <t>Net profit -- bottom line of P&amp;L</t>
  </si>
  <si>
    <t>EPS  (Basic, as reported)</t>
  </si>
  <si>
    <t>From P&amp;L or EPS note  --  DO NOT back-calculate from PAT / shares</t>
  </si>
  <si>
    <t>DPS  (Dividend Per Share)</t>
  </si>
  <si>
    <t>Final + interim dividends declared for the year</t>
  </si>
  <si>
    <t xml:space="preserve">  BALANCE SHEET  (PKR millions)</t>
  </si>
  <si>
    <t>Total Assets</t>
  </si>
  <si>
    <t>Balance sheet total assets</t>
  </si>
  <si>
    <t>Total Equity  (Shareholders')</t>
  </si>
  <si>
    <t>Shareholders equity section total</t>
  </si>
  <si>
    <t>Total Debt / Borrowings</t>
  </si>
  <si>
    <t>Short-term + long-term borrowings</t>
  </si>
  <si>
    <t>Cash &amp; Equivalents</t>
  </si>
  <si>
    <t>Cash + short-term investments / placements</t>
  </si>
  <si>
    <t>Current Assets</t>
  </si>
  <si>
    <t>Balance sheet current assets section</t>
  </si>
  <si>
    <t>Current Liabilities</t>
  </si>
  <si>
    <t>Balance sheet current liabilities section</t>
  </si>
  <si>
    <t xml:space="preserve">  CASH FLOW  (PKR millions)</t>
  </si>
  <si>
    <t>Operating Cash Flow  (CFO)</t>
  </si>
  <si>
    <t>Cash flow statement -- net cash from operating activities</t>
  </si>
  <si>
    <t>Capital Expenditure  (CapEx)</t>
  </si>
  <si>
    <t>Investing section -- purchase of property, plant &amp; equipment</t>
  </si>
  <si>
    <t xml:space="preserve">  BANKING-SPECIFIC  (PKR millions)</t>
  </si>
  <si>
    <t>Net Interest Income  (NII)</t>
  </si>
  <si>
    <t>Interest earned minus interest paid</t>
  </si>
  <si>
    <t>Total Deposits</t>
  </si>
  <si>
    <t>Customer deposits total (liabilities side)</t>
  </si>
  <si>
    <t>CASA Deposits</t>
  </si>
  <si>
    <t>Current accounts + savings accounts</t>
  </si>
  <si>
    <t>Gross Loans / Advances</t>
  </si>
  <si>
    <t>Total advances before provisions</t>
  </si>
  <si>
    <t>Non-Performing Loans  (NPLs)</t>
  </si>
  <si>
    <t>Credit quality note in annual report</t>
  </si>
  <si>
    <t>Loan Loss Provisions</t>
  </si>
  <si>
    <t>Provision for loan losses</t>
  </si>
  <si>
    <t>Tier 1 Capital</t>
  </si>
  <si>
    <t>Capital adequacy section / SBP disclosures</t>
  </si>
  <si>
    <t>Risk-Weighted Assets  (RWA)</t>
  </si>
  <si>
    <t>Total Income  (Banking)</t>
  </si>
  <si>
    <t>NII + fee &amp; commission + FX + other income</t>
  </si>
  <si>
    <t>Operating Expenses</t>
  </si>
  <si>
    <t>Admin expenses + staff costs total</t>
  </si>
  <si>
    <t xml:space="preserve">  AUDIT TRAIL  --  fill for every period you enter data for</t>
  </si>
  <si>
    <t>Source Document</t>
  </si>
  <si>
    <t>—</t>
  </si>
  <si>
    <t>HBL Annual Report FY23</t>
  </si>
  <si>
    <t>HBL Annual Report FY24</t>
  </si>
  <si>
    <t>HBL Annual Report FY25</t>
  </si>
  <si>
    <t>e.g. 'HBL Annual Report FY25'</t>
  </si>
  <si>
    <t>Source URL</t>
  </si>
  <si>
    <t>https://hbl.com/investor-relations/annual-reports</t>
  </si>
  <si>
    <t>Direct link to annual report PDF on company website</t>
  </si>
  <si>
    <t>Source Page  (fill this in)</t>
  </si>
  <si>
    <t>e.g. 'p.45'  or  'Note 12, p.89'  or  'Consolidated P&amp;L, p.112'</t>
  </si>
  <si>
    <t>Source Type</t>
  </si>
  <si>
    <t>annual_report</t>
  </si>
  <si>
    <t>Use dropdown  --  annual_report for audited full-year accounts</t>
  </si>
  <si>
    <t>Is Audited</t>
  </si>
  <si>
    <t>TRUE</t>
  </si>
  <si>
    <t>TRUE for annual reports; FALSE for interim or management accounts</t>
  </si>
  <si>
    <t>Entered By  (fill this in)</t>
  </si>
  <si>
    <t>Your name  (required for data provenance)</t>
  </si>
  <si>
    <t>Verified By</t>
  </si>
  <si>
    <t>Leave blank -- fill in after cross-checking against a second source</t>
  </si>
  <si>
    <t>Ingestion Batch</t>
  </si>
  <si>
    <t>pilot_batch_1_2026_05</t>
  </si>
  <si>
    <t>Leave as-is</t>
  </si>
  <si>
    <t>Verification Status</t>
  </si>
  <si>
    <t>needs_verification</t>
  </si>
  <si>
    <t>Leave as needs_verification; update to verified after cross-check</t>
  </si>
  <si>
    <t>Notes / Caveats</t>
  </si>
  <si>
    <t>Any assumptions, flags, or data quality issues to document</t>
  </si>
  <si>
    <t>MCB Bank Limited  (MCB)</t>
  </si>
  <si>
    <t>Sector: Banking   |   Annual Report: https://www.mcb.com.pk/investor-relations/annual-reports</t>
  </si>
  <si>
    <t>MCB Annual Report FY23</t>
  </si>
  <si>
    <t>MCB Annual Report FY24</t>
  </si>
  <si>
    <t>MCB Annual Report FY25</t>
  </si>
  <si>
    <t>https://www.mcb.com.pk/investor-relations/annual-reports</t>
  </si>
  <si>
    <t>United Bank Limited  (UBL)</t>
  </si>
  <si>
    <t>Sector: Banking   |   Annual Report: https://www.ubl.com.pk/investor-relations/annual-reports</t>
  </si>
  <si>
    <t>UBL Annual Report FY23</t>
  </si>
  <si>
    <t>UBL Annual Report FY24</t>
  </si>
  <si>
    <t>UBL Annual Report FY25</t>
  </si>
  <si>
    <t>https://www.ubl.com.pk/investor-relations/annual-reports</t>
  </si>
  <si>
    <t>Bank Alfalah Limited  (BAFL)</t>
  </si>
  <si>
    <t>Sector: Banking   |   Annual Report: https://www.bankalfalah.com/investor-relations/annual-reports</t>
  </si>
  <si>
    <t>BAFL Annual Report FY23</t>
  </si>
  <si>
    <t>BAFL Annual Report FY24</t>
  </si>
  <si>
    <t>BAFL Annual Report FY25</t>
  </si>
  <si>
    <t>https://www.bankalfalah.com/investor-relations/annual-reports</t>
  </si>
  <si>
    <t>Oil &amp; Gas Dev. Corp.  (OGDC)</t>
  </si>
  <si>
    <t>Sector: E&amp;P   |   Annual Report: https://www.ogdcl.com/investor-relations/annual-reports</t>
  </si>
  <si>
    <t xml:space="preserve">  BANKING-SPECIFIC  --  N/A for E&amp;P (orange cells = leave blank)</t>
  </si>
  <si>
    <t>N/A</t>
  </si>
  <si>
    <t>OGDC Annual Report FY23</t>
  </si>
  <si>
    <t>OGDC Annual Report FY24</t>
  </si>
  <si>
    <t>OGDC Annual Report FY25</t>
  </si>
  <si>
    <t>https://www.ogdcl.com/investor-relations/annual-reports</t>
  </si>
  <si>
    <t>Pakistan Petroleum Limited  (PPL)</t>
  </si>
  <si>
    <t>Sector: E&amp;P   |   Annual Report: https://www.ppl.com.pk/investor-relations/annual-reports</t>
  </si>
  <si>
    <t>PPL Annual Report FY23</t>
  </si>
  <si>
    <t>PPL Annual Report FY24</t>
  </si>
  <si>
    <t>PPL Annual Report FY25</t>
  </si>
  <si>
    <t>https://www.ppl.com.pk/investor-relations/annual-reports</t>
  </si>
  <si>
    <t>Lucky Cement Limited  (LUCK)</t>
  </si>
  <si>
    <t>Sector: Cement   |   Annual Report: https://www.lucky-cement.com/investor-relations</t>
  </si>
  <si>
    <t xml:space="preserve">  BANKING-SPECIFIC  --  N/A for Cement (orange cells = leave blank)</t>
  </si>
  <si>
    <t>LUCK Annual Report FY23</t>
  </si>
  <si>
    <t>LUCK Annual Report FY24</t>
  </si>
  <si>
    <t>LUCK Annual Report FY25</t>
  </si>
  <si>
    <t>https://www.lucky-cement.com/investor-relations</t>
  </si>
  <si>
    <t>D.G. Khan Cement Company  (DGKC)</t>
  </si>
  <si>
    <t>Sector: Cement   |   Annual Report: https://www.dgcement.com/investor-relations</t>
  </si>
  <si>
    <t>DGKC Annual Report FY23</t>
  </si>
  <si>
    <t>DGKC Annual Report FY24</t>
  </si>
  <si>
    <t>DGKC Annual Report FY25</t>
  </si>
  <si>
    <t>https://www.dgcement.com/investor-relations</t>
  </si>
  <si>
    <t>Fauji Fertilizer Company  (FFC)</t>
  </si>
  <si>
    <t>Sector: Fertilizer   |   Annual Report: https://www.ffc.com.pk/investor-relations</t>
  </si>
  <si>
    <t xml:space="preserve">  BANKING-SPECIFIC  --  N/A for Fertilizer (orange cells = leave blank)</t>
  </si>
  <si>
    <t>FFC Annual Report FY23</t>
  </si>
  <si>
    <t>FFC Annual Report FY24</t>
  </si>
  <si>
    <t>FFC Annual Report FY25</t>
  </si>
  <si>
    <t>https://www.ffc.com.pk/investor-relations</t>
  </si>
  <si>
    <t>Hub Power Company  (HUBC)</t>
  </si>
  <si>
    <t>Sector: Power   |   Annual Report: https://hubpower.com/investor-relations</t>
  </si>
  <si>
    <t xml:space="preserve">  BANKING-SPECIFIC  --  N/A for Power (orange cells = leave blank)</t>
  </si>
  <si>
    <t>HUBC Annual Report FY23</t>
  </si>
  <si>
    <t>HUBC Annual Report FY24</t>
  </si>
  <si>
    <t>HUBC Annual Report FY25</t>
  </si>
  <si>
    <t>https://hubpower.com/investor-relations</t>
  </si>
  <si>
    <t>Daiyan 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</si>
</sst>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##"/>
  </numFmts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sz val="9"/>
      <color rgb="FFCC0000"/>
      <name val="Courier New"/>
      <charset val="1"/>
    </font>
    <font>
      <b/>
      <sz val="15"/>
      <color rgb="FFFFFFFF"/>
      <name val="Arial"/>
      <charset val="1"/>
    </font>
    <font>
      <i/>
      <sz val="9"/>
      <color rgb="FF505050"/>
      <name val="Arial"/>
      <charset val="1"/>
    </font>
    <font>
      <b/>
      <sz val="10"/>
      <color rgb="FFFFFFFF"/>
      <name val="Arial"/>
      <charset val="1"/>
    </font>
    <font>
      <i/>
      <sz val="9"/>
      <color rgb="FF606060"/>
      <name val="Arial"/>
      <charset val="1"/>
    </font>
    <font>
      <b/>
      <sz val="9"/>
      <color rgb="FF1F4E79"/>
      <name val="Arial"/>
      <charset val="1"/>
    </font>
    <font>
      <i/>
      <sz val="9"/>
      <color rgb="FF808080"/>
      <name val="Arial"/>
      <charset val="1"/>
    </font>
    <font>
      <i/>
      <sz val="10"/>
      <color rgb="FF000000"/>
      <name val="Arial"/>
      <charset val="1"/>
    </font>
    <font>
      <sz val="10"/>
      <color rgb="FF1F6B1F"/>
      <name val="Arial"/>
      <charset val="1"/>
    </font>
    <font>
      <i/>
      <sz val="9"/>
      <color rgb="FF1F6B1F"/>
      <name val="Arial"/>
      <charset val="1"/>
    </font>
    <font>
      <sz val="9"/>
      <color rgb="FF000000"/>
      <name val="Arial"/>
      <charset val="1"/>
    </font>
    <font>
      <sz val="9"/>
      <color rgb="FF1F4E79"/>
      <name val="Arial"/>
      <charset val="1"/>
    </font>
    <font>
      <i/>
      <sz val="10"/>
      <color rgb="FFAAAAAA"/>
      <name val="Arial"/>
      <charset val="1"/>
    </font>
    <font>
      <u/>
      <sz val="11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5E8F7"/>
      </patternFill>
    </fill>
    <fill>
      <patternFill patternType="solid">
        <fgColor rgb="FFF5F5F5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EBEBEB"/>
        <bgColor rgb="FFE2EFDA"/>
      </patternFill>
    </fill>
    <fill>
      <patternFill patternType="solid">
        <fgColor rgb="FFFFFACD"/>
        <bgColor rgb="FFF5F5F5"/>
      </patternFill>
    </fill>
    <fill>
      <patternFill patternType="solid">
        <fgColor rgb="FFE2EFDA"/>
        <bgColor rgb="FFEBEBEB"/>
      </patternFill>
    </fill>
    <fill>
      <patternFill patternType="solid">
        <fgColor rgb="FFEBF3FB"/>
        <bgColor rgb="FFF5F5F5"/>
      </patternFill>
    </fill>
    <fill>
      <patternFill patternType="solid">
        <fgColor rgb="FFD5E8F7"/>
        <bgColor rgb="FFD6E4F0"/>
      </patternFill>
    </fill>
    <fill>
      <patternFill patternType="solid">
        <fgColor rgb="FFFCE4D6"/>
        <bgColor rgb="FFEBEBEB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A0A0A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A0A0A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6">
    <xf numFmtId="0" fontId="0" fillId="0" borderId="0" xfId="0"/>
    <xf numFmtId="0" fontId="3" fillId="6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4" fontId="2" fillId="7" borderId="1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3" fontId="12" fillId="8" borderId="1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9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6B1F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FFACD"/>
      <rgbColor rgb="FFD5E8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5F5F5"/>
      <rgbColor rgb="FFD6E4F0"/>
      <rgbColor rgb="FFEBEBEB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06060"/>
      <rgbColor rgb="FFA0A0A0"/>
      <rgbColor rgb="FF003366"/>
      <rgbColor rgb="FF339966"/>
      <rgbColor rgb="FF003300"/>
      <rgbColor rgb="FF333300"/>
      <rgbColor rgb="FF993300"/>
      <rgbColor rgb="FF993366"/>
      <rgbColor rgb="FF1F4E7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bl.com/investor-relations/annual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showGridLines="0" zoomScaleNormal="100" workbookViewId="0"/>
  </sheetViews>
  <sheetFormatPr defaultColWidth="8.68359375" defaultRowHeight="14.4" x14ac:dyDescent="0.55000000000000004"/>
  <cols>
    <col min="1" max="1" width="95" customWidth="1"/>
  </cols>
  <sheetData>
    <row r="1" spans="1:1" ht="42" customHeight="1" x14ac:dyDescent="0.55000000000000004">
      <c r="A1" s="4" t="s">
        <v>0</v>
      </c>
    </row>
    <row r="2" spans="1:1" ht="7.5" customHeight="1" x14ac:dyDescent="0.55000000000000004">
      <c r="A2" s="5"/>
    </row>
    <row r="3" spans="1:1" ht="21.75" customHeight="1" x14ac:dyDescent="0.55000000000000004">
      <c r="A3" s="6" t="s">
        <v>1</v>
      </c>
    </row>
    <row r="4" spans="1:1" ht="19.5" customHeight="1" x14ac:dyDescent="0.55000000000000004">
      <c r="A4" s="5" t="s">
        <v>2</v>
      </c>
    </row>
    <row r="5" spans="1:1" ht="19.5" customHeight="1" x14ac:dyDescent="0.55000000000000004">
      <c r="A5" s="5" t="s">
        <v>3</v>
      </c>
    </row>
    <row r="6" spans="1:1" ht="19.5" customHeight="1" x14ac:dyDescent="0.55000000000000004">
      <c r="A6" s="5" t="s">
        <v>4</v>
      </c>
    </row>
    <row r="7" spans="1:1" ht="19.5" customHeight="1" x14ac:dyDescent="0.55000000000000004">
      <c r="A7" s="5" t="s">
        <v>5</v>
      </c>
    </row>
    <row r="8" spans="1:1" ht="7.5" customHeight="1" x14ac:dyDescent="0.55000000000000004">
      <c r="A8" s="5"/>
    </row>
    <row r="9" spans="1:1" ht="21.75" customHeight="1" x14ac:dyDescent="0.55000000000000004">
      <c r="A9" s="6" t="s">
        <v>6</v>
      </c>
    </row>
    <row r="10" spans="1:1" ht="19.5" customHeight="1" x14ac:dyDescent="0.55000000000000004">
      <c r="A10" s="5" t="s">
        <v>7</v>
      </c>
    </row>
    <row r="11" spans="1:1" ht="19.5" customHeight="1" x14ac:dyDescent="0.55000000000000004">
      <c r="A11" s="5" t="s">
        <v>8</v>
      </c>
    </row>
    <row r="12" spans="1:1" ht="19.5" customHeight="1" x14ac:dyDescent="0.55000000000000004">
      <c r="A12" s="5" t="s">
        <v>9</v>
      </c>
    </row>
    <row r="13" spans="1:1" ht="19.5" customHeight="1" x14ac:dyDescent="0.55000000000000004">
      <c r="A13" s="5" t="s">
        <v>10</v>
      </c>
    </row>
    <row r="14" spans="1:1" ht="7.5" customHeight="1" x14ac:dyDescent="0.55000000000000004">
      <c r="A14" s="5"/>
    </row>
    <row r="15" spans="1:1" ht="21.75" customHeight="1" x14ac:dyDescent="0.55000000000000004">
      <c r="A15" s="6" t="s">
        <v>11</v>
      </c>
    </row>
    <row r="16" spans="1:1" ht="19.5" customHeight="1" x14ac:dyDescent="0.55000000000000004">
      <c r="A16" s="5" t="s">
        <v>12</v>
      </c>
    </row>
    <row r="17" spans="1:1" ht="19.5" customHeight="1" x14ac:dyDescent="0.55000000000000004">
      <c r="A17" s="5" t="s">
        <v>13</v>
      </c>
    </row>
    <row r="18" spans="1:1" ht="19.5" customHeight="1" x14ac:dyDescent="0.55000000000000004">
      <c r="A18" s="5" t="s">
        <v>14</v>
      </c>
    </row>
    <row r="19" spans="1:1" ht="19.5" customHeight="1" x14ac:dyDescent="0.55000000000000004">
      <c r="A19" s="5" t="s">
        <v>15</v>
      </c>
    </row>
    <row r="20" spans="1:1" ht="7.5" customHeight="1" x14ac:dyDescent="0.55000000000000004">
      <c r="A20" s="5"/>
    </row>
    <row r="21" spans="1:1" ht="21.75" customHeight="1" x14ac:dyDescent="0.55000000000000004">
      <c r="A21" s="6" t="s">
        <v>16</v>
      </c>
    </row>
    <row r="22" spans="1:1" ht="19.5" customHeight="1" x14ac:dyDescent="0.55000000000000004">
      <c r="A22" s="5" t="s">
        <v>17</v>
      </c>
    </row>
    <row r="23" spans="1:1" ht="19.5" customHeight="1" x14ac:dyDescent="0.55000000000000004">
      <c r="A23" s="5" t="s">
        <v>18</v>
      </c>
    </row>
    <row r="24" spans="1:1" ht="19.5" customHeight="1" x14ac:dyDescent="0.55000000000000004">
      <c r="A24" s="5" t="s">
        <v>19</v>
      </c>
    </row>
    <row r="25" spans="1:1" ht="19.5" customHeight="1" x14ac:dyDescent="0.55000000000000004">
      <c r="A25" s="5" t="s">
        <v>20</v>
      </c>
    </row>
    <row r="26" spans="1:1" ht="19.5" customHeight="1" x14ac:dyDescent="0.55000000000000004">
      <c r="A26" s="5" t="s">
        <v>21</v>
      </c>
    </row>
    <row r="27" spans="1:1" ht="7.5" customHeight="1" x14ac:dyDescent="0.55000000000000004">
      <c r="A27" s="5"/>
    </row>
    <row r="28" spans="1:1" ht="21.75" customHeight="1" x14ac:dyDescent="0.55000000000000004">
      <c r="A28" s="6" t="s">
        <v>22</v>
      </c>
    </row>
    <row r="29" spans="1:1" ht="19.5" customHeight="1" x14ac:dyDescent="0.55000000000000004">
      <c r="A29" s="5" t="s">
        <v>23</v>
      </c>
    </row>
    <row r="30" spans="1:1" ht="19.5" customHeight="1" x14ac:dyDescent="0.55000000000000004">
      <c r="A30" s="5" t="s">
        <v>24</v>
      </c>
    </row>
    <row r="31" spans="1:1" ht="19.5" customHeight="1" x14ac:dyDescent="0.55000000000000004">
      <c r="A31" s="5" t="s">
        <v>25</v>
      </c>
    </row>
    <row r="32" spans="1:1" ht="7.5" customHeight="1" x14ac:dyDescent="0.55000000000000004">
      <c r="A32" s="5"/>
    </row>
    <row r="33" spans="1:1" ht="21.75" customHeight="1" x14ac:dyDescent="0.55000000000000004">
      <c r="A33" s="6" t="s">
        <v>26</v>
      </c>
    </row>
    <row r="34" spans="1:1" ht="19.5" customHeight="1" x14ac:dyDescent="0.55000000000000004">
      <c r="A34" s="5" t="s">
        <v>27</v>
      </c>
    </row>
    <row r="35" spans="1:1" ht="19.5" customHeight="1" x14ac:dyDescent="0.55000000000000004">
      <c r="A35" s="5" t="s">
        <v>28</v>
      </c>
    </row>
    <row r="36" spans="1:1" ht="19.5" customHeight="1" x14ac:dyDescent="0.55000000000000004">
      <c r="A36" s="5" t="s">
        <v>29</v>
      </c>
    </row>
    <row r="37" spans="1:1" ht="19.5" customHeight="1" x14ac:dyDescent="0.55000000000000004">
      <c r="A37" s="5" t="s">
        <v>30</v>
      </c>
    </row>
    <row r="38" spans="1:1" ht="7.5" customHeight="1" x14ac:dyDescent="0.55000000000000004">
      <c r="A38" s="5"/>
    </row>
    <row r="39" spans="1:1" ht="21.75" customHeight="1" x14ac:dyDescent="0.55000000000000004">
      <c r="A39" s="6" t="s">
        <v>31</v>
      </c>
    </row>
    <row r="40" spans="1:1" ht="19.5" customHeight="1" x14ac:dyDescent="0.55000000000000004">
      <c r="A40" s="5" t="s">
        <v>32</v>
      </c>
    </row>
    <row r="41" spans="1:1" ht="19.5" customHeight="1" x14ac:dyDescent="0.55000000000000004">
      <c r="A41" s="5" t="s">
        <v>33</v>
      </c>
    </row>
    <row r="42" spans="1:1" ht="19.5" customHeight="1" x14ac:dyDescent="0.55000000000000004">
      <c r="A42" s="5" t="s">
        <v>34</v>
      </c>
    </row>
    <row r="43" spans="1:1" ht="7.5" customHeight="1" x14ac:dyDescent="0.55000000000000004">
      <c r="A43" s="5"/>
    </row>
    <row r="44" spans="1:1" ht="21.75" customHeight="1" x14ac:dyDescent="0.55000000000000004">
      <c r="A44" s="6" t="s">
        <v>35</v>
      </c>
    </row>
    <row r="45" spans="1:1" ht="19.5" customHeight="1" x14ac:dyDescent="0.55000000000000004">
      <c r="A45" s="7" t="s">
        <v>36</v>
      </c>
    </row>
    <row r="46" spans="1:1" ht="19.5" customHeight="1" x14ac:dyDescent="0.55000000000000004">
      <c r="A46" s="5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18" sqref="D18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38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39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>
        <v>75.510000000000005</v>
      </c>
      <c r="D7" s="15">
        <v>123.46</v>
      </c>
      <c r="E7" s="15">
        <v>179.15</v>
      </c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>
        <v>1466</v>
      </c>
      <c r="E8" s="17">
        <v>1466</v>
      </c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180992.36</v>
      </c>
      <c r="E9" s="19">
        <f>E7*E8</f>
        <v>262633.90000000002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>
        <v>299584</v>
      </c>
      <c r="D12" s="21">
        <v>342134</v>
      </c>
      <c r="E12" s="21">
        <v>361107</v>
      </c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>
        <v>126817</v>
      </c>
      <c r="D13" s="21">
        <v>146938</v>
      </c>
      <c r="E13" s="21">
        <v>157214</v>
      </c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>
        <v>-12159</v>
      </c>
      <c r="E14" s="21">
        <v>1696472</v>
      </c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>
        <v>665043</v>
      </c>
      <c r="D16" s="21">
        <v>826883</v>
      </c>
      <c r="E16" s="21">
        <v>1216020</v>
      </c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>
        <v>57757</v>
      </c>
      <c r="D17" s="21">
        <v>57805</v>
      </c>
      <c r="E17" s="21">
        <v>66764</v>
      </c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>
        <v>39.299999999999997</v>
      </c>
      <c r="D18" s="15">
        <v>39.9</v>
      </c>
      <c r="E18" s="15">
        <v>45.5</v>
      </c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>
        <v>9.75</v>
      </c>
      <c r="D19" s="15">
        <v>16.25</v>
      </c>
      <c r="E19" s="15">
        <v>20</v>
      </c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>
        <v>5534348</v>
      </c>
      <c r="D22" s="21">
        <v>6055113</v>
      </c>
      <c r="E22" s="21">
        <v>7708144</v>
      </c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>
        <v>366021</v>
      </c>
      <c r="D23" s="21">
        <v>410798</v>
      </c>
      <c r="E23" s="21">
        <v>488615</v>
      </c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>
        <v>665043</v>
      </c>
      <c r="D24" s="21">
        <v>826883</v>
      </c>
      <c r="E24" s="21">
        <v>1216020</v>
      </c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>
        <v>460195</v>
      </c>
      <c r="E25" s="21">
        <v>564756</v>
      </c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>
        <f>460195+51325+84294</f>
        <v>595814</v>
      </c>
      <c r="E26" s="21">
        <f>564756+53973+247785</f>
        <v>866514</v>
      </c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>
        <v>511520</v>
      </c>
      <c r="E30" s="21">
        <v>618729</v>
      </c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>
        <v>45981</v>
      </c>
      <c r="E31" s="21">
        <v>1553626</v>
      </c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96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1">
        <v>242133</v>
      </c>
      <c r="D34" s="21">
        <v>245622</v>
      </c>
      <c r="E34" s="21">
        <v>275501</v>
      </c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1">
        <v>4142352</v>
      </c>
      <c r="D35" s="21">
        <v>437031</v>
      </c>
      <c r="E35" s="21">
        <v>5546000</v>
      </c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1"/>
      <c r="D36" s="21">
        <v>4294</v>
      </c>
      <c r="E36" s="21">
        <v>5121</v>
      </c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1">
        <v>1861345</v>
      </c>
      <c r="D37" s="21">
        <v>2435435</v>
      </c>
      <c r="E37" s="21">
        <v>2076777</v>
      </c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1">
        <f>C37*0.052</f>
        <v>96789.94</v>
      </c>
      <c r="D38" s="21">
        <f>D37*0.043</f>
        <v>104723.70499999999</v>
      </c>
      <c r="E38" s="21">
        <f>E37*0.043</f>
        <v>89301.410999999993</v>
      </c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1">
        <v>13266</v>
      </c>
      <c r="D39" s="21">
        <v>26604</v>
      </c>
      <c r="E39" s="21">
        <v>9123</v>
      </c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1"/>
      <c r="D40" s="21">
        <v>310176</v>
      </c>
      <c r="E40" s="21">
        <v>346354</v>
      </c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1"/>
      <c r="D41" s="21">
        <v>2101919</v>
      </c>
      <c r="E41" s="21">
        <v>2375001</v>
      </c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1"/>
      <c r="D42" s="21"/>
      <c r="E42" s="21"/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1">
        <v>172767</v>
      </c>
      <c r="D43" s="21">
        <v>1951961</v>
      </c>
      <c r="E43" s="21">
        <v>203893</v>
      </c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119</v>
      </c>
      <c r="D46" s="22" t="s">
        <v>120</v>
      </c>
      <c r="E46" s="22" t="s">
        <v>121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5" t="s">
        <v>124</v>
      </c>
      <c r="D47" s="22" t="s">
        <v>124</v>
      </c>
      <c r="E47" s="22" t="s">
        <v>124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 t="s">
        <v>205</v>
      </c>
      <c r="D51" s="22" t="s">
        <v>205</v>
      </c>
      <c r="E51" s="22" t="s">
        <v>205</v>
      </c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1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100-000001000000}">
      <formula1>"TRUE,FALSE"</formula1>
      <formula2>0</formula2>
    </dataValidation>
    <dataValidation type="list" sqref="C54:E54" xr:uid="{00000000-0002-0000-0100-000002000000}">
      <formula1>"needs_verification,verified,disputed,re-verified"</formula1>
      <formula2>0</formula2>
    </dataValidation>
  </dataValidations>
  <hyperlinks>
    <hyperlink ref="C47" r:id="rId1" xr:uid="{AB2A0F73-04E5-4231-B32F-646B153CCD1E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8" sqref="C8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146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147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96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1"/>
      <c r="D34" s="21"/>
      <c r="E34" s="21"/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1"/>
      <c r="D35" s="21"/>
      <c r="E35" s="21"/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1"/>
      <c r="D36" s="21"/>
      <c r="E36" s="21"/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1"/>
      <c r="D37" s="21"/>
      <c r="E37" s="21"/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1"/>
      <c r="D38" s="21"/>
      <c r="E38" s="21"/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1"/>
      <c r="D39" s="21"/>
      <c r="E39" s="21"/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1"/>
      <c r="D40" s="21"/>
      <c r="E40" s="21"/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1"/>
      <c r="D41" s="21"/>
      <c r="E41" s="21"/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1"/>
      <c r="D42" s="21"/>
      <c r="E42" s="21"/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1"/>
      <c r="D43" s="21"/>
      <c r="E43" s="21"/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148</v>
      </c>
      <c r="D46" s="22" t="s">
        <v>149</v>
      </c>
      <c r="E46" s="22" t="s">
        <v>150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151</v>
      </c>
      <c r="D47" s="22" t="s">
        <v>151</v>
      </c>
      <c r="E47" s="22" t="s">
        <v>151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2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200-000001000000}">
      <formula1>"TRUE,FALSE"</formula1>
      <formula2>0</formula2>
    </dataValidation>
    <dataValidation type="list" sqref="C54:E54" xr:uid="{00000000-0002-0000-02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152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153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96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1"/>
      <c r="D34" s="21"/>
      <c r="E34" s="21"/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1"/>
      <c r="D35" s="21"/>
      <c r="E35" s="21"/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1"/>
      <c r="D36" s="21"/>
      <c r="E36" s="21"/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1"/>
      <c r="D37" s="21"/>
      <c r="E37" s="21"/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1"/>
      <c r="D38" s="21"/>
      <c r="E38" s="21"/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1"/>
      <c r="D39" s="21"/>
      <c r="E39" s="21"/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1"/>
      <c r="D40" s="21"/>
      <c r="E40" s="21"/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1"/>
      <c r="D41" s="21"/>
      <c r="E41" s="21"/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1"/>
      <c r="D42" s="21"/>
      <c r="E42" s="21"/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1"/>
      <c r="D43" s="21"/>
      <c r="E43" s="21"/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154</v>
      </c>
      <c r="D46" s="22" t="s">
        <v>155</v>
      </c>
      <c r="E46" s="22" t="s">
        <v>156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157</v>
      </c>
      <c r="D47" s="22" t="s">
        <v>157</v>
      </c>
      <c r="E47" s="22" t="s">
        <v>157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3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300-000001000000}">
      <formula1>"TRUE,FALSE"</formula1>
      <formula2>0</formula2>
    </dataValidation>
    <dataValidation type="list" sqref="C54:E54" xr:uid="{00000000-0002-0000-03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158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159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96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1"/>
      <c r="D34" s="21"/>
      <c r="E34" s="21"/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1"/>
      <c r="D35" s="21"/>
      <c r="E35" s="21"/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1"/>
      <c r="D36" s="21"/>
      <c r="E36" s="21"/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1"/>
      <c r="D37" s="21"/>
      <c r="E37" s="21"/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1"/>
      <c r="D38" s="21"/>
      <c r="E38" s="21"/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1"/>
      <c r="D39" s="21"/>
      <c r="E39" s="21"/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1"/>
      <c r="D40" s="21"/>
      <c r="E40" s="21"/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1"/>
      <c r="D41" s="21"/>
      <c r="E41" s="21"/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1"/>
      <c r="D42" s="21"/>
      <c r="E42" s="21"/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1"/>
      <c r="D43" s="21"/>
      <c r="E43" s="21"/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160</v>
      </c>
      <c r="D46" s="22" t="s">
        <v>161</v>
      </c>
      <c r="E46" s="22" t="s">
        <v>162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163</v>
      </c>
      <c r="D47" s="22" t="s">
        <v>163</v>
      </c>
      <c r="E47" s="22" t="s">
        <v>163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4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400-000001000000}">
      <formula1>"TRUE,FALSE"</formula1>
      <formula2>0</formula2>
    </dataValidation>
    <dataValidation type="list" sqref="C54:E54" xr:uid="{00000000-0002-0000-04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8" sqref="C8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164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165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166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4" t="s">
        <v>167</v>
      </c>
      <c r="D34" s="24" t="s">
        <v>167</v>
      </c>
      <c r="E34" s="24" t="s">
        <v>167</v>
      </c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4" t="s">
        <v>167</v>
      </c>
      <c r="D35" s="24" t="s">
        <v>167</v>
      </c>
      <c r="E35" s="24" t="s">
        <v>167</v>
      </c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4" t="s">
        <v>167</v>
      </c>
      <c r="D36" s="24" t="s">
        <v>167</v>
      </c>
      <c r="E36" s="24" t="s">
        <v>167</v>
      </c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4" t="s">
        <v>167</v>
      </c>
      <c r="D37" s="24" t="s">
        <v>167</v>
      </c>
      <c r="E37" s="24" t="s">
        <v>167</v>
      </c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4" t="s">
        <v>167</v>
      </c>
      <c r="D38" s="24" t="s">
        <v>167</v>
      </c>
      <c r="E38" s="24" t="s">
        <v>167</v>
      </c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4" t="s">
        <v>167</v>
      </c>
      <c r="D39" s="24" t="s">
        <v>167</v>
      </c>
      <c r="E39" s="24" t="s">
        <v>167</v>
      </c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4" t="s">
        <v>167</v>
      </c>
      <c r="D40" s="24" t="s">
        <v>167</v>
      </c>
      <c r="E40" s="24" t="s">
        <v>167</v>
      </c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4" t="s">
        <v>167</v>
      </c>
      <c r="D41" s="24" t="s">
        <v>167</v>
      </c>
      <c r="E41" s="24" t="s">
        <v>167</v>
      </c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4" t="s">
        <v>167</v>
      </c>
      <c r="D42" s="24" t="s">
        <v>167</v>
      </c>
      <c r="E42" s="24" t="s">
        <v>167</v>
      </c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4" t="s">
        <v>167</v>
      </c>
      <c r="D43" s="24" t="s">
        <v>167</v>
      </c>
      <c r="E43" s="24" t="s">
        <v>167</v>
      </c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168</v>
      </c>
      <c r="D46" s="22" t="s">
        <v>169</v>
      </c>
      <c r="E46" s="22" t="s">
        <v>170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171</v>
      </c>
      <c r="D47" s="22" t="s">
        <v>171</v>
      </c>
      <c r="E47" s="22" t="s">
        <v>171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5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500-000001000000}">
      <formula1>"TRUE,FALSE"</formula1>
      <formula2>0</formula2>
    </dataValidation>
    <dataValidation type="list" sqref="C54:E54" xr:uid="{00000000-0002-0000-05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F1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172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173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166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4" t="s">
        <v>167</v>
      </c>
      <c r="D34" s="24" t="s">
        <v>167</v>
      </c>
      <c r="E34" s="24" t="s">
        <v>167</v>
      </c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4" t="s">
        <v>167</v>
      </c>
      <c r="D35" s="24" t="s">
        <v>167</v>
      </c>
      <c r="E35" s="24" t="s">
        <v>167</v>
      </c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4" t="s">
        <v>167</v>
      </c>
      <c r="D36" s="24" t="s">
        <v>167</v>
      </c>
      <c r="E36" s="24" t="s">
        <v>167</v>
      </c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4" t="s">
        <v>167</v>
      </c>
      <c r="D37" s="24" t="s">
        <v>167</v>
      </c>
      <c r="E37" s="24" t="s">
        <v>167</v>
      </c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4" t="s">
        <v>167</v>
      </c>
      <c r="D38" s="24" t="s">
        <v>167</v>
      </c>
      <c r="E38" s="24" t="s">
        <v>167</v>
      </c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4" t="s">
        <v>167</v>
      </c>
      <c r="D39" s="24" t="s">
        <v>167</v>
      </c>
      <c r="E39" s="24" t="s">
        <v>167</v>
      </c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4" t="s">
        <v>167</v>
      </c>
      <c r="D40" s="24" t="s">
        <v>167</v>
      </c>
      <c r="E40" s="24" t="s">
        <v>167</v>
      </c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4" t="s">
        <v>167</v>
      </c>
      <c r="D41" s="24" t="s">
        <v>167</v>
      </c>
      <c r="E41" s="24" t="s">
        <v>167</v>
      </c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4" t="s">
        <v>167</v>
      </c>
      <c r="D42" s="24" t="s">
        <v>167</v>
      </c>
      <c r="E42" s="24" t="s">
        <v>167</v>
      </c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4" t="s">
        <v>167</v>
      </c>
      <c r="D43" s="24" t="s">
        <v>167</v>
      </c>
      <c r="E43" s="24" t="s">
        <v>167</v>
      </c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174</v>
      </c>
      <c r="D46" s="22" t="s">
        <v>175</v>
      </c>
      <c r="E46" s="22" t="s">
        <v>176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177</v>
      </c>
      <c r="D47" s="22" t="s">
        <v>177</v>
      </c>
      <c r="E47" s="22" t="s">
        <v>177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6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600-000001000000}">
      <formula1>"TRUE,FALSE"</formula1>
      <formula2>0</formula2>
    </dataValidation>
    <dataValidation type="list" sqref="C54:E54" xr:uid="{00000000-0002-0000-06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178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179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180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4" t="s">
        <v>167</v>
      </c>
      <c r="D34" s="24" t="s">
        <v>167</v>
      </c>
      <c r="E34" s="24" t="s">
        <v>167</v>
      </c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4" t="s">
        <v>167</v>
      </c>
      <c r="D35" s="24" t="s">
        <v>167</v>
      </c>
      <c r="E35" s="24" t="s">
        <v>167</v>
      </c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4" t="s">
        <v>167</v>
      </c>
      <c r="D36" s="24" t="s">
        <v>167</v>
      </c>
      <c r="E36" s="24" t="s">
        <v>167</v>
      </c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4" t="s">
        <v>167</v>
      </c>
      <c r="D37" s="24" t="s">
        <v>167</v>
      </c>
      <c r="E37" s="24" t="s">
        <v>167</v>
      </c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4" t="s">
        <v>167</v>
      </c>
      <c r="D38" s="24" t="s">
        <v>167</v>
      </c>
      <c r="E38" s="24" t="s">
        <v>167</v>
      </c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4" t="s">
        <v>167</v>
      </c>
      <c r="D39" s="24" t="s">
        <v>167</v>
      </c>
      <c r="E39" s="24" t="s">
        <v>167</v>
      </c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4" t="s">
        <v>167</v>
      </c>
      <c r="D40" s="24" t="s">
        <v>167</v>
      </c>
      <c r="E40" s="24" t="s">
        <v>167</v>
      </c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4" t="s">
        <v>167</v>
      </c>
      <c r="D41" s="24" t="s">
        <v>167</v>
      </c>
      <c r="E41" s="24" t="s">
        <v>167</v>
      </c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4" t="s">
        <v>167</v>
      </c>
      <c r="D42" s="24" t="s">
        <v>167</v>
      </c>
      <c r="E42" s="24" t="s">
        <v>167</v>
      </c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4" t="s">
        <v>167</v>
      </c>
      <c r="D43" s="24" t="s">
        <v>167</v>
      </c>
      <c r="E43" s="24" t="s">
        <v>167</v>
      </c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181</v>
      </c>
      <c r="D46" s="22" t="s">
        <v>182</v>
      </c>
      <c r="E46" s="22" t="s">
        <v>183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184</v>
      </c>
      <c r="D47" s="22" t="s">
        <v>184</v>
      </c>
      <c r="E47" s="22" t="s">
        <v>184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7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700-000001000000}">
      <formula1>"TRUE,FALSE"</formula1>
      <formula2>0</formula2>
    </dataValidation>
    <dataValidation type="list" sqref="C54:E54" xr:uid="{00000000-0002-0000-07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185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186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180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4" t="s">
        <v>167</v>
      </c>
      <c r="D34" s="24" t="s">
        <v>167</v>
      </c>
      <c r="E34" s="24" t="s">
        <v>167</v>
      </c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4" t="s">
        <v>167</v>
      </c>
      <c r="D35" s="24" t="s">
        <v>167</v>
      </c>
      <c r="E35" s="24" t="s">
        <v>167</v>
      </c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4" t="s">
        <v>167</v>
      </c>
      <c r="D36" s="24" t="s">
        <v>167</v>
      </c>
      <c r="E36" s="24" t="s">
        <v>167</v>
      </c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4" t="s">
        <v>167</v>
      </c>
      <c r="D37" s="24" t="s">
        <v>167</v>
      </c>
      <c r="E37" s="24" t="s">
        <v>167</v>
      </c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4" t="s">
        <v>167</v>
      </c>
      <c r="D38" s="24" t="s">
        <v>167</v>
      </c>
      <c r="E38" s="24" t="s">
        <v>167</v>
      </c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4" t="s">
        <v>167</v>
      </c>
      <c r="D39" s="24" t="s">
        <v>167</v>
      </c>
      <c r="E39" s="24" t="s">
        <v>167</v>
      </c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4" t="s">
        <v>167</v>
      </c>
      <c r="D40" s="24" t="s">
        <v>167</v>
      </c>
      <c r="E40" s="24" t="s">
        <v>167</v>
      </c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4" t="s">
        <v>167</v>
      </c>
      <c r="D41" s="24" t="s">
        <v>167</v>
      </c>
      <c r="E41" s="24" t="s">
        <v>167</v>
      </c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4" t="s">
        <v>167</v>
      </c>
      <c r="D42" s="24" t="s">
        <v>167</v>
      </c>
      <c r="E42" s="24" t="s">
        <v>167</v>
      </c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4" t="s">
        <v>167</v>
      </c>
      <c r="D43" s="24" t="s">
        <v>167</v>
      </c>
      <c r="E43" s="24" t="s">
        <v>167</v>
      </c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187</v>
      </c>
      <c r="D46" s="22" t="s">
        <v>188</v>
      </c>
      <c r="E46" s="22" t="s">
        <v>189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190</v>
      </c>
      <c r="D47" s="22" t="s">
        <v>190</v>
      </c>
      <c r="E47" s="22" t="s">
        <v>190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8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800-000001000000}">
      <formula1>"TRUE,FALSE"</formula1>
      <formula2>0</formula2>
    </dataValidation>
    <dataValidation type="list" sqref="C54:E54" xr:uid="{00000000-0002-0000-08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191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192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193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4" t="s">
        <v>167</v>
      </c>
      <c r="D34" s="24" t="s">
        <v>167</v>
      </c>
      <c r="E34" s="24" t="s">
        <v>167</v>
      </c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4" t="s">
        <v>167</v>
      </c>
      <c r="D35" s="24" t="s">
        <v>167</v>
      </c>
      <c r="E35" s="24" t="s">
        <v>167</v>
      </c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4" t="s">
        <v>167</v>
      </c>
      <c r="D36" s="24" t="s">
        <v>167</v>
      </c>
      <c r="E36" s="24" t="s">
        <v>167</v>
      </c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4" t="s">
        <v>167</v>
      </c>
      <c r="D37" s="24" t="s">
        <v>167</v>
      </c>
      <c r="E37" s="24" t="s">
        <v>167</v>
      </c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4" t="s">
        <v>167</v>
      </c>
      <c r="D38" s="24" t="s">
        <v>167</v>
      </c>
      <c r="E38" s="24" t="s">
        <v>167</v>
      </c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4" t="s">
        <v>167</v>
      </c>
      <c r="D39" s="24" t="s">
        <v>167</v>
      </c>
      <c r="E39" s="24" t="s">
        <v>167</v>
      </c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4" t="s">
        <v>167</v>
      </c>
      <c r="D40" s="24" t="s">
        <v>167</v>
      </c>
      <c r="E40" s="24" t="s">
        <v>167</v>
      </c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4" t="s">
        <v>167</v>
      </c>
      <c r="D41" s="24" t="s">
        <v>167</v>
      </c>
      <c r="E41" s="24" t="s">
        <v>167</v>
      </c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4" t="s">
        <v>167</v>
      </c>
      <c r="D42" s="24" t="s">
        <v>167</v>
      </c>
      <c r="E42" s="24" t="s">
        <v>167</v>
      </c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4" t="s">
        <v>167</v>
      </c>
      <c r="D43" s="24" t="s">
        <v>167</v>
      </c>
      <c r="E43" s="24" t="s">
        <v>167</v>
      </c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194</v>
      </c>
      <c r="D46" s="22" t="s">
        <v>195</v>
      </c>
      <c r="E46" s="22" t="s">
        <v>196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197</v>
      </c>
      <c r="D47" s="22" t="s">
        <v>197</v>
      </c>
      <c r="E47" s="22" t="s">
        <v>197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9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900-000001000000}">
      <formula1>"TRUE,FALSE"</formula1>
      <formula2>0</formula2>
    </dataValidation>
    <dataValidation type="list" sqref="C54:E54" xr:uid="{00000000-0002-0000-09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8359375" defaultRowHeight="14.4" x14ac:dyDescent="0.55000000000000004"/>
  <cols>
    <col min="1" max="1" width="34" customWidth="1"/>
    <col min="2" max="2" width="12" customWidth="1"/>
    <col min="3" max="5" width="20" customWidth="1"/>
    <col min="6" max="6" width="36" customWidth="1"/>
  </cols>
  <sheetData>
    <row r="1" spans="1:6" ht="33.75" customHeight="1" x14ac:dyDescent="0.55000000000000004">
      <c r="A1" s="3" t="s">
        <v>198</v>
      </c>
      <c r="B1" s="3"/>
      <c r="C1" s="3"/>
      <c r="D1" s="3"/>
      <c r="E1" s="3"/>
      <c r="F1" s="3"/>
    </row>
    <row r="2" spans="1:6" ht="15.75" customHeight="1" x14ac:dyDescent="0.55000000000000004">
      <c r="A2" s="2" t="s">
        <v>199</v>
      </c>
      <c r="B2" s="2"/>
      <c r="C2" s="2"/>
      <c r="D2" s="2"/>
      <c r="E2" s="2"/>
      <c r="F2" s="2"/>
    </row>
    <row r="3" spans="1:6" ht="6" customHeight="1" x14ac:dyDescent="0.55000000000000004"/>
    <row r="4" spans="1:6" ht="30" customHeight="1" x14ac:dyDescent="0.55000000000000004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</row>
    <row r="5" spans="1:6" ht="18" customHeight="1" x14ac:dyDescent="0.55000000000000004">
      <c r="A5" s="9" t="s">
        <v>46</v>
      </c>
      <c r="B5" s="10"/>
      <c r="C5" s="11" t="s">
        <v>47</v>
      </c>
      <c r="D5" s="11" t="s">
        <v>48</v>
      </c>
      <c r="E5" s="11" t="s">
        <v>49</v>
      </c>
      <c r="F5" s="12" t="s">
        <v>50</v>
      </c>
    </row>
    <row r="6" spans="1:6" ht="19.5" customHeight="1" x14ac:dyDescent="0.55000000000000004">
      <c r="A6" s="1" t="s">
        <v>51</v>
      </c>
      <c r="B6" s="1"/>
      <c r="C6" s="1"/>
      <c r="D6" s="1"/>
      <c r="E6" s="1"/>
      <c r="F6" s="1"/>
    </row>
    <row r="7" spans="1:6" ht="19.5" customHeight="1" x14ac:dyDescent="0.55000000000000004">
      <c r="A7" s="13" t="s">
        <v>52</v>
      </c>
      <c r="B7" s="14" t="s">
        <v>53</v>
      </c>
      <c r="C7" s="15"/>
      <c r="D7" s="15"/>
      <c r="E7" s="15"/>
      <c r="F7" s="16" t="s">
        <v>54</v>
      </c>
    </row>
    <row r="8" spans="1:6" ht="19.5" customHeight="1" x14ac:dyDescent="0.55000000000000004">
      <c r="A8" s="13" t="s">
        <v>55</v>
      </c>
      <c r="B8" s="14" t="s">
        <v>56</v>
      </c>
      <c r="C8" s="17"/>
      <c r="D8" s="17"/>
      <c r="E8" s="17"/>
      <c r="F8" s="16" t="s">
        <v>57</v>
      </c>
    </row>
    <row r="9" spans="1:6" ht="19.5" customHeight="1" x14ac:dyDescent="0.55000000000000004">
      <c r="A9" s="18" t="s">
        <v>58</v>
      </c>
      <c r="B9" s="14" t="s">
        <v>59</v>
      </c>
      <c r="C9" s="19">
        <f>C7*C8</f>
        <v>0</v>
      </c>
      <c r="D9" s="19">
        <f>D7*D8</f>
        <v>0</v>
      </c>
      <c r="E9" s="19">
        <f>E7*E8</f>
        <v>0</v>
      </c>
      <c r="F9" s="20" t="s">
        <v>60</v>
      </c>
    </row>
    <row r="10" spans="1:6" ht="6.75" customHeight="1" x14ac:dyDescent="0.55000000000000004"/>
    <row r="11" spans="1:6" ht="19.5" customHeight="1" x14ac:dyDescent="0.55000000000000004">
      <c r="A11" s="1" t="s">
        <v>61</v>
      </c>
      <c r="B11" s="1"/>
      <c r="C11" s="1"/>
      <c r="D11" s="1"/>
      <c r="E11" s="1"/>
      <c r="F11" s="1"/>
    </row>
    <row r="12" spans="1:6" ht="19.5" customHeight="1" x14ac:dyDescent="0.55000000000000004">
      <c r="A12" s="13" t="s">
        <v>62</v>
      </c>
      <c r="B12" s="14" t="s">
        <v>59</v>
      </c>
      <c r="C12" s="21"/>
      <c r="D12" s="21"/>
      <c r="E12" s="21"/>
      <c r="F12" s="16" t="s">
        <v>63</v>
      </c>
    </row>
    <row r="13" spans="1:6" ht="19.5" customHeight="1" x14ac:dyDescent="0.55000000000000004">
      <c r="A13" s="13" t="s">
        <v>64</v>
      </c>
      <c r="B13" s="14" t="s">
        <v>59</v>
      </c>
      <c r="C13" s="21"/>
      <c r="D13" s="21"/>
      <c r="E13" s="21"/>
      <c r="F13" s="16" t="s">
        <v>65</v>
      </c>
    </row>
    <row r="14" spans="1:6" ht="19.5" customHeight="1" x14ac:dyDescent="0.55000000000000004">
      <c r="A14" s="13" t="s">
        <v>66</v>
      </c>
      <c r="B14" s="14" t="s">
        <v>59</v>
      </c>
      <c r="C14" s="21"/>
      <c r="D14" s="21"/>
      <c r="E14" s="21"/>
      <c r="F14" s="16" t="s">
        <v>67</v>
      </c>
    </row>
    <row r="15" spans="1:6" ht="19.5" customHeight="1" x14ac:dyDescent="0.55000000000000004">
      <c r="A15" s="13" t="s">
        <v>68</v>
      </c>
      <c r="B15" s="14" t="s">
        <v>59</v>
      </c>
      <c r="C15" s="21"/>
      <c r="D15" s="21"/>
      <c r="E15" s="21"/>
      <c r="F15" s="16" t="s">
        <v>69</v>
      </c>
    </row>
    <row r="16" spans="1:6" ht="19.5" customHeight="1" x14ac:dyDescent="0.55000000000000004">
      <c r="A16" s="13" t="s">
        <v>70</v>
      </c>
      <c r="B16" s="14" t="s">
        <v>59</v>
      </c>
      <c r="C16" s="21"/>
      <c r="D16" s="21"/>
      <c r="E16" s="21"/>
      <c r="F16" s="16" t="s">
        <v>71</v>
      </c>
    </row>
    <row r="17" spans="1:6" ht="19.5" customHeight="1" x14ac:dyDescent="0.55000000000000004">
      <c r="A17" s="13" t="s">
        <v>72</v>
      </c>
      <c r="B17" s="14" t="s">
        <v>59</v>
      </c>
      <c r="C17" s="21"/>
      <c r="D17" s="21"/>
      <c r="E17" s="21"/>
      <c r="F17" s="16" t="s">
        <v>73</v>
      </c>
    </row>
    <row r="18" spans="1:6" ht="19.5" customHeight="1" x14ac:dyDescent="0.55000000000000004">
      <c r="A18" s="13" t="s">
        <v>74</v>
      </c>
      <c r="B18" s="14" t="s">
        <v>53</v>
      </c>
      <c r="C18" s="15"/>
      <c r="D18" s="15"/>
      <c r="E18" s="15"/>
      <c r="F18" s="16" t="s">
        <v>75</v>
      </c>
    </row>
    <row r="19" spans="1:6" ht="19.5" customHeight="1" x14ac:dyDescent="0.55000000000000004">
      <c r="A19" s="13" t="s">
        <v>76</v>
      </c>
      <c r="B19" s="14" t="s">
        <v>53</v>
      </c>
      <c r="C19" s="15"/>
      <c r="D19" s="15"/>
      <c r="E19" s="15"/>
      <c r="F19" s="16" t="s">
        <v>77</v>
      </c>
    </row>
    <row r="20" spans="1:6" ht="6.75" customHeight="1" x14ac:dyDescent="0.55000000000000004"/>
    <row r="21" spans="1:6" ht="19.5" customHeight="1" x14ac:dyDescent="0.55000000000000004">
      <c r="A21" s="1" t="s">
        <v>78</v>
      </c>
      <c r="B21" s="1"/>
      <c r="C21" s="1"/>
      <c r="D21" s="1"/>
      <c r="E21" s="1"/>
      <c r="F21" s="1"/>
    </row>
    <row r="22" spans="1:6" ht="19.5" customHeight="1" x14ac:dyDescent="0.55000000000000004">
      <c r="A22" s="13" t="s">
        <v>79</v>
      </c>
      <c r="B22" s="14" t="s">
        <v>59</v>
      </c>
      <c r="C22" s="21"/>
      <c r="D22" s="21"/>
      <c r="E22" s="21"/>
      <c r="F22" s="16" t="s">
        <v>80</v>
      </c>
    </row>
    <row r="23" spans="1:6" ht="19.5" customHeight="1" x14ac:dyDescent="0.55000000000000004">
      <c r="A23" s="13" t="s">
        <v>81</v>
      </c>
      <c r="B23" s="14" t="s">
        <v>59</v>
      </c>
      <c r="C23" s="21"/>
      <c r="D23" s="21"/>
      <c r="E23" s="21"/>
      <c r="F23" s="16" t="s">
        <v>82</v>
      </c>
    </row>
    <row r="24" spans="1:6" ht="19.5" customHeight="1" x14ac:dyDescent="0.55000000000000004">
      <c r="A24" s="13" t="s">
        <v>83</v>
      </c>
      <c r="B24" s="14" t="s">
        <v>59</v>
      </c>
      <c r="C24" s="21"/>
      <c r="D24" s="21"/>
      <c r="E24" s="21"/>
      <c r="F24" s="16" t="s">
        <v>84</v>
      </c>
    </row>
    <row r="25" spans="1:6" ht="19.5" customHeight="1" x14ac:dyDescent="0.55000000000000004">
      <c r="A25" s="13" t="s">
        <v>85</v>
      </c>
      <c r="B25" s="14" t="s">
        <v>59</v>
      </c>
      <c r="C25" s="21"/>
      <c r="D25" s="21"/>
      <c r="E25" s="21"/>
      <c r="F25" s="16" t="s">
        <v>86</v>
      </c>
    </row>
    <row r="26" spans="1:6" ht="19.5" customHeight="1" x14ac:dyDescent="0.55000000000000004">
      <c r="A26" s="13" t="s">
        <v>87</v>
      </c>
      <c r="B26" s="14" t="s">
        <v>59</v>
      </c>
      <c r="C26" s="21"/>
      <c r="D26" s="21"/>
      <c r="E26" s="21"/>
      <c r="F26" s="16" t="s">
        <v>88</v>
      </c>
    </row>
    <row r="27" spans="1:6" ht="19.5" customHeight="1" x14ac:dyDescent="0.55000000000000004">
      <c r="A27" s="13" t="s">
        <v>89</v>
      </c>
      <c r="B27" s="14" t="s">
        <v>59</v>
      </c>
      <c r="C27" s="21"/>
      <c r="D27" s="21"/>
      <c r="E27" s="21"/>
      <c r="F27" s="16" t="s">
        <v>90</v>
      </c>
    </row>
    <row r="28" spans="1:6" ht="6.75" customHeight="1" x14ac:dyDescent="0.55000000000000004"/>
    <row r="29" spans="1:6" ht="19.5" customHeight="1" x14ac:dyDescent="0.55000000000000004">
      <c r="A29" s="1" t="s">
        <v>91</v>
      </c>
      <c r="B29" s="1"/>
      <c r="C29" s="1"/>
      <c r="D29" s="1"/>
      <c r="E29" s="1"/>
      <c r="F29" s="1"/>
    </row>
    <row r="30" spans="1:6" ht="19.5" customHeight="1" x14ac:dyDescent="0.55000000000000004">
      <c r="A30" s="13" t="s">
        <v>92</v>
      </c>
      <c r="B30" s="14" t="s">
        <v>59</v>
      </c>
      <c r="C30" s="21"/>
      <c r="D30" s="21"/>
      <c r="E30" s="21"/>
      <c r="F30" s="16" t="s">
        <v>93</v>
      </c>
    </row>
    <row r="31" spans="1:6" ht="19.5" customHeight="1" x14ac:dyDescent="0.55000000000000004">
      <c r="A31" s="13" t="s">
        <v>94</v>
      </c>
      <c r="B31" s="14" t="s">
        <v>59</v>
      </c>
      <c r="C31" s="21"/>
      <c r="D31" s="21"/>
      <c r="E31" s="21"/>
      <c r="F31" s="16" t="s">
        <v>95</v>
      </c>
    </row>
    <row r="32" spans="1:6" ht="6.75" customHeight="1" x14ac:dyDescent="0.55000000000000004"/>
    <row r="33" spans="1:6" ht="19.5" customHeight="1" x14ac:dyDescent="0.55000000000000004">
      <c r="A33" s="1" t="s">
        <v>200</v>
      </c>
      <c r="B33" s="1"/>
      <c r="C33" s="1"/>
      <c r="D33" s="1"/>
      <c r="E33" s="1"/>
      <c r="F33" s="1"/>
    </row>
    <row r="34" spans="1:6" ht="19.5" customHeight="1" x14ac:dyDescent="0.55000000000000004">
      <c r="A34" s="13" t="s">
        <v>97</v>
      </c>
      <c r="B34" s="14" t="s">
        <v>59</v>
      </c>
      <c r="C34" s="24" t="s">
        <v>167</v>
      </c>
      <c r="D34" s="24" t="s">
        <v>167</v>
      </c>
      <c r="E34" s="24" t="s">
        <v>167</v>
      </c>
      <c r="F34" s="16" t="s">
        <v>98</v>
      </c>
    </row>
    <row r="35" spans="1:6" ht="19.5" customHeight="1" x14ac:dyDescent="0.55000000000000004">
      <c r="A35" s="13" t="s">
        <v>99</v>
      </c>
      <c r="B35" s="14" t="s">
        <v>59</v>
      </c>
      <c r="C35" s="24" t="s">
        <v>167</v>
      </c>
      <c r="D35" s="24" t="s">
        <v>167</v>
      </c>
      <c r="E35" s="24" t="s">
        <v>167</v>
      </c>
      <c r="F35" s="16" t="s">
        <v>100</v>
      </c>
    </row>
    <row r="36" spans="1:6" ht="19.5" customHeight="1" x14ac:dyDescent="0.55000000000000004">
      <c r="A36" s="13" t="s">
        <v>101</v>
      </c>
      <c r="B36" s="14" t="s">
        <v>59</v>
      </c>
      <c r="C36" s="24" t="s">
        <v>167</v>
      </c>
      <c r="D36" s="24" t="s">
        <v>167</v>
      </c>
      <c r="E36" s="24" t="s">
        <v>167</v>
      </c>
      <c r="F36" s="16" t="s">
        <v>102</v>
      </c>
    </row>
    <row r="37" spans="1:6" ht="19.5" customHeight="1" x14ac:dyDescent="0.55000000000000004">
      <c r="A37" s="13" t="s">
        <v>103</v>
      </c>
      <c r="B37" s="14" t="s">
        <v>59</v>
      </c>
      <c r="C37" s="24" t="s">
        <v>167</v>
      </c>
      <c r="D37" s="24" t="s">
        <v>167</v>
      </c>
      <c r="E37" s="24" t="s">
        <v>167</v>
      </c>
      <c r="F37" s="16" t="s">
        <v>104</v>
      </c>
    </row>
    <row r="38" spans="1:6" ht="19.5" customHeight="1" x14ac:dyDescent="0.55000000000000004">
      <c r="A38" s="13" t="s">
        <v>105</v>
      </c>
      <c r="B38" s="14" t="s">
        <v>59</v>
      </c>
      <c r="C38" s="24" t="s">
        <v>167</v>
      </c>
      <c r="D38" s="24" t="s">
        <v>167</v>
      </c>
      <c r="E38" s="24" t="s">
        <v>167</v>
      </c>
      <c r="F38" s="16" t="s">
        <v>106</v>
      </c>
    </row>
    <row r="39" spans="1:6" ht="19.5" customHeight="1" x14ac:dyDescent="0.55000000000000004">
      <c r="A39" s="13" t="s">
        <v>107</v>
      </c>
      <c r="B39" s="14" t="s">
        <v>59</v>
      </c>
      <c r="C39" s="24" t="s">
        <v>167</v>
      </c>
      <c r="D39" s="24" t="s">
        <v>167</v>
      </c>
      <c r="E39" s="24" t="s">
        <v>167</v>
      </c>
      <c r="F39" s="16" t="s">
        <v>108</v>
      </c>
    </row>
    <row r="40" spans="1:6" ht="19.5" customHeight="1" x14ac:dyDescent="0.55000000000000004">
      <c r="A40" s="13" t="s">
        <v>109</v>
      </c>
      <c r="B40" s="14" t="s">
        <v>59</v>
      </c>
      <c r="C40" s="24" t="s">
        <v>167</v>
      </c>
      <c r="D40" s="24" t="s">
        <v>167</v>
      </c>
      <c r="E40" s="24" t="s">
        <v>167</v>
      </c>
      <c r="F40" s="16" t="s">
        <v>110</v>
      </c>
    </row>
    <row r="41" spans="1:6" ht="19.5" customHeight="1" x14ac:dyDescent="0.55000000000000004">
      <c r="A41" s="13" t="s">
        <v>111</v>
      </c>
      <c r="B41" s="14" t="s">
        <v>59</v>
      </c>
      <c r="C41" s="24" t="s">
        <v>167</v>
      </c>
      <c r="D41" s="24" t="s">
        <v>167</v>
      </c>
      <c r="E41" s="24" t="s">
        <v>167</v>
      </c>
      <c r="F41" s="16" t="s">
        <v>110</v>
      </c>
    </row>
    <row r="42" spans="1:6" ht="19.5" customHeight="1" x14ac:dyDescent="0.55000000000000004">
      <c r="A42" s="13" t="s">
        <v>112</v>
      </c>
      <c r="B42" s="14" t="s">
        <v>59</v>
      </c>
      <c r="C42" s="24" t="s">
        <v>167</v>
      </c>
      <c r="D42" s="24" t="s">
        <v>167</v>
      </c>
      <c r="E42" s="24" t="s">
        <v>167</v>
      </c>
      <c r="F42" s="16" t="s">
        <v>113</v>
      </c>
    </row>
    <row r="43" spans="1:6" ht="19.5" customHeight="1" x14ac:dyDescent="0.55000000000000004">
      <c r="A43" s="13" t="s">
        <v>114</v>
      </c>
      <c r="B43" s="14" t="s">
        <v>59</v>
      </c>
      <c r="C43" s="24" t="s">
        <v>167</v>
      </c>
      <c r="D43" s="24" t="s">
        <v>167</v>
      </c>
      <c r="E43" s="24" t="s">
        <v>167</v>
      </c>
      <c r="F43" s="16" t="s">
        <v>115</v>
      </c>
    </row>
    <row r="44" spans="1:6" ht="6.75" customHeight="1" x14ac:dyDescent="0.55000000000000004"/>
    <row r="45" spans="1:6" ht="19.5" customHeight="1" x14ac:dyDescent="0.55000000000000004">
      <c r="A45" s="1" t="s">
        <v>116</v>
      </c>
      <c r="B45" s="1"/>
      <c r="C45" s="1"/>
      <c r="D45" s="1"/>
      <c r="E45" s="1"/>
      <c r="F45" s="1"/>
    </row>
    <row r="46" spans="1:6" ht="19.5" customHeight="1" x14ac:dyDescent="0.55000000000000004">
      <c r="A46" s="13" t="s">
        <v>117</v>
      </c>
      <c r="B46" s="14" t="s">
        <v>118</v>
      </c>
      <c r="C46" s="22" t="s">
        <v>201</v>
      </c>
      <c r="D46" s="22" t="s">
        <v>202</v>
      </c>
      <c r="E46" s="22" t="s">
        <v>203</v>
      </c>
      <c r="F46" s="16" t="s">
        <v>122</v>
      </c>
    </row>
    <row r="47" spans="1:6" ht="19.5" customHeight="1" x14ac:dyDescent="0.55000000000000004">
      <c r="A47" s="13" t="s">
        <v>123</v>
      </c>
      <c r="B47" s="14" t="s">
        <v>118</v>
      </c>
      <c r="C47" s="22" t="s">
        <v>204</v>
      </c>
      <c r="D47" s="22" t="s">
        <v>204</v>
      </c>
      <c r="E47" s="22" t="s">
        <v>204</v>
      </c>
      <c r="F47" s="16" t="s">
        <v>125</v>
      </c>
    </row>
    <row r="48" spans="1:6" ht="19.5" customHeight="1" x14ac:dyDescent="0.55000000000000004">
      <c r="A48" s="13" t="s">
        <v>126</v>
      </c>
      <c r="B48" s="14" t="s">
        <v>118</v>
      </c>
      <c r="C48" s="22"/>
      <c r="D48" s="22"/>
      <c r="E48" s="22"/>
      <c r="F48" s="16" t="s">
        <v>127</v>
      </c>
    </row>
    <row r="49" spans="1:6" ht="19.5" customHeight="1" x14ac:dyDescent="0.55000000000000004">
      <c r="A49" s="13" t="s">
        <v>128</v>
      </c>
      <c r="B49" s="14" t="s">
        <v>118</v>
      </c>
      <c r="C49" s="23" t="s">
        <v>129</v>
      </c>
      <c r="D49" s="23" t="s">
        <v>129</v>
      </c>
      <c r="E49" s="23" t="s">
        <v>129</v>
      </c>
      <c r="F49" s="16" t="s">
        <v>130</v>
      </c>
    </row>
    <row r="50" spans="1:6" ht="19.5" customHeight="1" x14ac:dyDescent="0.55000000000000004">
      <c r="A50" s="13" t="s">
        <v>131</v>
      </c>
      <c r="B50" s="14" t="s">
        <v>118</v>
      </c>
      <c r="C50" s="23" t="s">
        <v>132</v>
      </c>
      <c r="D50" s="23" t="s">
        <v>132</v>
      </c>
      <c r="E50" s="23" t="s">
        <v>132</v>
      </c>
      <c r="F50" s="16" t="s">
        <v>133</v>
      </c>
    </row>
    <row r="51" spans="1:6" ht="19.5" customHeight="1" x14ac:dyDescent="0.55000000000000004">
      <c r="A51" s="13" t="s">
        <v>134</v>
      </c>
      <c r="B51" s="14" t="s">
        <v>118</v>
      </c>
      <c r="C51" s="22"/>
      <c r="D51" s="22"/>
      <c r="E51" s="22"/>
      <c r="F51" s="16" t="s">
        <v>135</v>
      </c>
    </row>
    <row r="52" spans="1:6" ht="19.5" customHeight="1" x14ac:dyDescent="0.55000000000000004">
      <c r="A52" s="13" t="s">
        <v>136</v>
      </c>
      <c r="B52" s="14" t="s">
        <v>118</v>
      </c>
      <c r="C52" s="22"/>
      <c r="D52" s="22"/>
      <c r="E52" s="22"/>
      <c r="F52" s="16" t="s">
        <v>137</v>
      </c>
    </row>
    <row r="53" spans="1:6" ht="19.5" customHeight="1" x14ac:dyDescent="0.55000000000000004">
      <c r="A53" s="13" t="s">
        <v>138</v>
      </c>
      <c r="B53" s="14" t="s">
        <v>118</v>
      </c>
      <c r="C53" s="23" t="s">
        <v>139</v>
      </c>
      <c r="D53" s="23" t="s">
        <v>139</v>
      </c>
      <c r="E53" s="23" t="s">
        <v>139</v>
      </c>
      <c r="F53" s="16" t="s">
        <v>140</v>
      </c>
    </row>
    <row r="54" spans="1:6" ht="19.5" customHeight="1" x14ac:dyDescent="0.55000000000000004">
      <c r="A54" s="13" t="s">
        <v>141</v>
      </c>
      <c r="B54" s="14" t="s">
        <v>118</v>
      </c>
      <c r="C54" s="23" t="s">
        <v>142</v>
      </c>
      <c r="D54" s="23" t="s">
        <v>142</v>
      </c>
      <c r="E54" s="23" t="s">
        <v>142</v>
      </c>
      <c r="F54" s="16" t="s">
        <v>143</v>
      </c>
    </row>
    <row r="55" spans="1:6" ht="19.5" customHeight="1" x14ac:dyDescent="0.55000000000000004">
      <c r="A55" s="13" t="s">
        <v>144</v>
      </c>
      <c r="B55" s="14" t="s">
        <v>118</v>
      </c>
      <c r="C55" s="22"/>
      <c r="D55" s="22"/>
      <c r="E55" s="22"/>
      <c r="F55" s="16" t="s">
        <v>145</v>
      </c>
    </row>
  </sheetData>
  <mergeCells count="8">
    <mergeCell ref="A29:F29"/>
    <mergeCell ref="A33:F33"/>
    <mergeCell ref="A45:F45"/>
    <mergeCell ref="A1:F1"/>
    <mergeCell ref="A2:F2"/>
    <mergeCell ref="A6:F6"/>
    <mergeCell ref="A11:F11"/>
    <mergeCell ref="A21:F21"/>
  </mergeCells>
  <dataValidations count="3">
    <dataValidation type="list" sqref="C49:E49" xr:uid="{00000000-0002-0000-0A00-000000000000}">
      <formula1>"annual_report,half_year_report,quarterly_report,psx_notice,secp_filing,bloomberg_terminal,analyst_model,api_provider,management_accounts,press_release,web_scrape"</formula1>
      <formula2>0</formula2>
    </dataValidation>
    <dataValidation type="list" sqref="C50:E50" xr:uid="{00000000-0002-0000-0A00-000001000000}">
      <formula1>"TRUE,FALSE"</formula1>
      <formula2>0</formula2>
    </dataValidation>
    <dataValidation type="list" sqref="C54:E54" xr:uid="{00000000-0002-0000-0A00-000002000000}">
      <formula1>"needs_verification,verified,disputed,re-verified"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HBL</vt:lpstr>
      <vt:lpstr>MCB</vt:lpstr>
      <vt:lpstr>UBL</vt:lpstr>
      <vt:lpstr>BAFL</vt:lpstr>
      <vt:lpstr>OGDC</vt:lpstr>
      <vt:lpstr>PPL</vt:lpstr>
      <vt:lpstr>LUCK</vt:lpstr>
      <vt:lpstr>DGKC</vt:lpstr>
      <vt:lpstr>FFC</vt:lpstr>
      <vt:lpstr>HUBC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Daiyan Adam</cp:lastModifiedBy>
  <cp:revision>0</cp:revision>
  <dcterms:created xsi:type="dcterms:W3CDTF">2026-05-21T04:27:35Z</dcterms:created>
  <dcterms:modified xsi:type="dcterms:W3CDTF">2026-05-22T08:34:35Z</dcterms:modified>
  <dc:language>en-US</dc:language>
</cp:coreProperties>
</file>